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an\Downloads\"/>
    </mc:Choice>
  </mc:AlternateContent>
  <xr:revisionPtr revIDLastSave="0" documentId="13_ncr:1_{F63155F1-6203-4DB3-91B5-4F32E9EB5167}" xr6:coauthVersionLast="47" xr6:coauthVersionMax="47" xr10:uidLastSave="{00000000-0000-0000-0000-000000000000}"/>
  <bookViews>
    <workbookView xWindow="-108" yWindow="-108" windowWidth="23256" windowHeight="12456" tabRatio="72" xr2:uid="{48CFBA91-81F0-4C64-8A19-A6D1AF05B1FC}"/>
  </bookViews>
  <sheets>
    <sheet name="Planilha1" sheetId="1" r:id="rId1"/>
    <sheet name="Planilha2" sheetId="2" r:id="rId2"/>
  </sheets>
  <externalReferences>
    <externalReference r:id="rId3"/>
  </externalReferences>
  <definedNames>
    <definedName name="aporte">Planilha1!$D$17</definedName>
    <definedName name="patrimonio">Planilha1!$D$20</definedName>
    <definedName name="qtd_anos">Planilha1!$D$18</definedName>
    <definedName name="rendimento_carteira">Planilha1!$D$13</definedName>
    <definedName name="taxa_mensal">Planilha1!$D$19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7" i="1" l="1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H6" i="2" s="1"/>
  <c r="A8" i="2"/>
  <c r="A7" i="2"/>
  <c r="A6" i="2"/>
  <c r="A5" i="2"/>
  <c r="C24" i="1"/>
  <c r="D24" i="1" s="1"/>
  <c r="C41" i="1"/>
  <c r="C40" i="1"/>
  <c r="C39" i="1"/>
  <c r="C38" i="1"/>
  <c r="C36" i="1"/>
  <c r="C33" i="1"/>
  <c r="C28" i="1"/>
  <c r="D28" i="1" s="1"/>
  <c r="C27" i="1"/>
  <c r="D27" i="1" s="1"/>
  <c r="C26" i="1"/>
  <c r="D26" i="1" s="1"/>
  <c r="C25" i="1"/>
  <c r="D25" i="1" s="1"/>
  <c r="D20" i="1"/>
  <c r="D21" i="1" s="1"/>
  <c r="D14" i="1"/>
  <c r="D36" i="1" l="1"/>
  <c r="D37" i="1"/>
  <c r="D38" i="1"/>
  <c r="D39" i="1"/>
  <c r="D40" i="1"/>
  <c r="D41" i="1"/>
  <c r="D42" i="1" l="1"/>
</calcChain>
</file>

<file path=xl/sharedStrings.xml><?xml version="1.0" encoding="utf-8"?>
<sst xmlns="http://schemas.openxmlformats.org/spreadsheetml/2006/main" count="72" uniqueCount="35">
  <si>
    <t>CONFIGURAÇÕES</t>
  </si>
  <si>
    <t>Salário</t>
  </si>
  <si>
    <t>Rendimento Carteira</t>
  </si>
  <si>
    <t>Sugestão de Investimento (30%)</t>
  </si>
  <si>
    <t>INVESTIMENTO MENSAL</t>
  </si>
  <si>
    <t>Por Quantos Anos ?</t>
  </si>
  <si>
    <t>Taxa de Rendimento mensal ?</t>
  </si>
  <si>
    <t>Patrimônio acumulado ?</t>
  </si>
  <si>
    <t>Dividendos Mensais ?</t>
  </si>
  <si>
    <t xml:space="preserve"> Cenários</t>
  </si>
  <si>
    <t>Quanto em 2 Anos ?</t>
  </si>
  <si>
    <t>Quanto em 5 Anos ?</t>
  </si>
  <si>
    <t>Quanto em 10 Anos ?</t>
  </si>
  <si>
    <t>Quanto em 20 Anos ?</t>
  </si>
  <si>
    <t>Quanto em 30 Anos ?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</si>
  <si>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</si>
  <si>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</si>
  <si>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</si>
  <si>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</si>
  <si>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</si>
  <si>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</si>
  <si>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</si>
  <si>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</si>
  <si>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</si>
  <si>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</si>
  <si>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</si>
  <si>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</si>
  <si>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Quanto devo investir por mês ?</t>
  </si>
  <si>
    <t>Conservador</t>
  </si>
  <si>
    <t>Agressivo</t>
  </si>
  <si>
    <t>DIVIDENDO</t>
  </si>
  <si>
    <t>CHAVE</t>
  </si>
  <si>
    <t>%</t>
  </si>
  <si>
    <t>Moderado-TIJOLO</t>
  </si>
  <si>
    <t>FUNDOS DE INVESTIMENTO IMOBILIÁRIO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</si>
</sst>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0.000%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20"/>
      <color theme="0"/>
      <name val="Segoe UI Semibold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2"/>
      <color theme="0"/>
      <name val="Segoe UI Semibold"/>
      <family val="2"/>
    </font>
    <font>
      <b/>
      <sz val="18"/>
      <name val="Segoe UI Semibold"/>
      <family val="2"/>
    </font>
    <font>
      <sz val="11"/>
      <name val="Segoe UI Semibold"/>
      <family val="2"/>
    </font>
    <font>
      <sz val="11"/>
      <color theme="0"/>
      <name val="Segoe UI"/>
      <family val="2"/>
    </font>
    <font>
      <sz val="11"/>
      <color rgb="FF9C5700"/>
      <name val="Segoe UI"/>
      <family val="2"/>
    </font>
    <font>
      <b/>
      <sz val="11"/>
      <color rgb="FFFF0000"/>
      <name val="Segoe UI"/>
      <family val="2"/>
    </font>
    <font>
      <b/>
      <sz val="12"/>
      <color theme="0"/>
      <name val="Segoe UI"/>
      <family val="2"/>
    </font>
    <font>
      <b/>
      <sz val="11"/>
      <color rgb="FF9C57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B0FA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0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3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0" borderId="0" xfId="0" applyFont="1"/>
    <xf numFmtId="164" fontId="7" fillId="3" borderId="0" xfId="1" applyNumberFormat="1" applyFont="1" applyFill="1" applyBorder="1" applyAlignment="1">
      <alignment horizontal="center"/>
    </xf>
    <xf numFmtId="0" fontId="5" fillId="0" borderId="0" xfId="0" applyFont="1" applyBorder="1"/>
    <xf numFmtId="0" fontId="7" fillId="6" borderId="0" xfId="0" applyFont="1" applyFill="1" applyBorder="1" applyAlignment="1">
      <alignment horizontal="center"/>
    </xf>
    <xf numFmtId="9" fontId="5" fillId="0" borderId="0" xfId="0" applyNumberFormat="1" applyFont="1" applyBorder="1" applyAlignment="1">
      <alignment horizontal="center"/>
    </xf>
    <xf numFmtId="0" fontId="12" fillId="9" borderId="2" xfId="0" applyFont="1" applyFill="1" applyBorder="1" applyAlignment="1">
      <alignment horizontal="center"/>
    </xf>
    <xf numFmtId="0" fontId="12" fillId="9" borderId="3" xfId="0" applyFont="1" applyFill="1" applyBorder="1" applyAlignment="1">
      <alignment horizontal="center"/>
    </xf>
    <xf numFmtId="0" fontId="5" fillId="10" borderId="0" xfId="0" applyFont="1" applyFill="1" applyBorder="1" applyAlignment="1">
      <alignment horizontal="center"/>
    </xf>
    <xf numFmtId="9" fontId="5" fillId="10" borderId="5" xfId="0" applyNumberFormat="1" applyFont="1" applyFill="1" applyBorder="1" applyAlignment="1">
      <alignment horizontal="center"/>
    </xf>
    <xf numFmtId="0" fontId="15" fillId="11" borderId="0" xfId="0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16" fillId="2" borderId="0" xfId="3" applyFont="1"/>
    <xf numFmtId="0" fontId="7" fillId="0" borderId="0" xfId="0" applyFont="1"/>
    <xf numFmtId="9" fontId="16" fillId="2" borderId="0" xfId="2" applyFont="1" applyFill="1"/>
    <xf numFmtId="0" fontId="12" fillId="9" borderId="1" xfId="0" applyFont="1" applyFill="1" applyBorder="1" applyAlignment="1">
      <alignment horizontal="center"/>
    </xf>
    <xf numFmtId="0" fontId="5" fillId="10" borderId="4" xfId="0" applyFont="1" applyFill="1" applyBorder="1" applyAlignment="1">
      <alignment horizontal="center"/>
    </xf>
    <xf numFmtId="0" fontId="12" fillId="9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0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/>
    </xf>
    <xf numFmtId="0" fontId="5" fillId="12" borderId="0" xfId="0" applyFont="1" applyFill="1" applyBorder="1" applyAlignment="1">
      <alignment horizontal="center" vertical="center"/>
    </xf>
    <xf numFmtId="0" fontId="5" fillId="12" borderId="0" xfId="0" applyFont="1" applyFill="1" applyBorder="1" applyAlignment="1">
      <alignment horizontal="center"/>
    </xf>
    <xf numFmtId="9" fontId="5" fillId="12" borderId="5" xfId="0" applyNumberFormat="1" applyFont="1" applyFill="1" applyBorder="1" applyAlignment="1">
      <alignment horizontal="center"/>
    </xf>
    <xf numFmtId="0" fontId="5" fillId="12" borderId="6" xfId="0" applyFont="1" applyFill="1" applyBorder="1" applyAlignment="1">
      <alignment horizontal="center"/>
    </xf>
    <xf numFmtId="0" fontId="5" fillId="12" borderId="7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/>
    </xf>
    <xf numFmtId="9" fontId="5" fillId="12" borderId="8" xfId="0" applyNumberFormat="1" applyFont="1" applyFill="1" applyBorder="1" applyAlignment="1">
      <alignment horizontal="center"/>
    </xf>
    <xf numFmtId="0" fontId="5" fillId="13" borderId="4" xfId="0" applyFont="1" applyFill="1" applyBorder="1" applyAlignment="1">
      <alignment horizontal="center"/>
    </xf>
    <xf numFmtId="0" fontId="5" fillId="13" borderId="0" xfId="0" applyFont="1" applyFill="1" applyBorder="1" applyAlignment="1">
      <alignment horizontal="center" vertical="center"/>
    </xf>
    <xf numFmtId="0" fontId="5" fillId="13" borderId="0" xfId="0" applyFont="1" applyFill="1" applyBorder="1" applyAlignment="1">
      <alignment horizontal="center"/>
    </xf>
    <xf numFmtId="9" fontId="5" fillId="13" borderId="5" xfId="0" applyNumberFormat="1" applyFont="1" applyFill="1" applyBorder="1" applyAlignment="1">
      <alignment horizontal="center"/>
    </xf>
    <xf numFmtId="0" fontId="5" fillId="13" borderId="6" xfId="0" applyFont="1" applyFill="1" applyBorder="1" applyAlignment="1">
      <alignment horizontal="center"/>
    </xf>
    <xf numFmtId="0" fontId="5" fillId="13" borderId="7" xfId="0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center"/>
    </xf>
    <xf numFmtId="9" fontId="5" fillId="13" borderId="8" xfId="0" applyNumberFormat="1" applyFont="1" applyFill="1" applyBorder="1" applyAlignment="1">
      <alignment horizontal="center"/>
    </xf>
    <xf numFmtId="0" fontId="5" fillId="14" borderId="4" xfId="0" applyFont="1" applyFill="1" applyBorder="1" applyAlignment="1">
      <alignment horizontal="center"/>
    </xf>
    <xf numFmtId="0" fontId="5" fillId="14" borderId="0" xfId="0" applyFont="1" applyFill="1" applyBorder="1" applyAlignment="1">
      <alignment horizontal="center" vertical="center"/>
    </xf>
    <xf numFmtId="0" fontId="5" fillId="14" borderId="0" xfId="0" applyFont="1" applyFill="1" applyBorder="1" applyAlignment="1">
      <alignment horizontal="center"/>
    </xf>
    <xf numFmtId="9" fontId="5" fillId="14" borderId="5" xfId="0" applyNumberFormat="1" applyFont="1" applyFill="1" applyBorder="1" applyAlignment="1">
      <alignment horizontal="center"/>
    </xf>
    <xf numFmtId="0" fontId="5" fillId="14" borderId="6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 vertical="center"/>
    </xf>
    <xf numFmtId="0" fontId="5" fillId="14" borderId="7" xfId="0" applyFont="1" applyFill="1" applyBorder="1" applyAlignment="1">
      <alignment horizontal="center"/>
    </xf>
    <xf numFmtId="9" fontId="5" fillId="14" borderId="8" xfId="0" applyNumberFormat="1" applyFont="1" applyFill="1" applyBorder="1" applyAlignment="1">
      <alignment horizontal="center"/>
    </xf>
    <xf numFmtId="0" fontId="4" fillId="3" borderId="0" xfId="0" applyFont="1" applyFill="1" applyBorder="1" applyAlignment="1">
      <alignment horizontal="left" indent="3"/>
    </xf>
    <xf numFmtId="0" fontId="8" fillId="5" borderId="0" xfId="0" applyFont="1" applyFill="1" applyBorder="1" applyAlignment="1">
      <alignment horizontal="left" indent="3"/>
    </xf>
    <xf numFmtId="164" fontId="5" fillId="5" borderId="0" xfId="0" applyNumberFormat="1" applyFont="1" applyFill="1" applyBorder="1" applyAlignment="1">
      <alignment horizontal="center"/>
    </xf>
    <xf numFmtId="164" fontId="7" fillId="5" borderId="0" xfId="0" applyNumberFormat="1" applyFont="1" applyFill="1" applyBorder="1" applyAlignment="1">
      <alignment horizontal="center"/>
    </xf>
    <xf numFmtId="0" fontId="10" fillId="8" borderId="9" xfId="0" applyFont="1" applyFill="1" applyBorder="1" applyAlignment="1">
      <alignment horizontal="right" vertical="center"/>
    </xf>
    <xf numFmtId="0" fontId="11" fillId="8" borderId="10" xfId="0" applyFont="1" applyFill="1" applyBorder="1" applyAlignment="1">
      <alignment horizontal="right"/>
    </xf>
    <xf numFmtId="0" fontId="10" fillId="8" borderId="11" xfId="0" applyFont="1" applyFill="1" applyBorder="1" applyAlignment="1">
      <alignment horizontal="right" vertical="center"/>
    </xf>
    <xf numFmtId="0" fontId="4" fillId="3" borderId="12" xfId="0" applyFont="1" applyFill="1" applyBorder="1" applyAlignment="1">
      <alignment horizontal="left" indent="3"/>
    </xf>
    <xf numFmtId="164" fontId="5" fillId="0" borderId="13" xfId="1" applyNumberFormat="1" applyFont="1" applyBorder="1" applyAlignment="1">
      <alignment horizontal="center"/>
    </xf>
    <xf numFmtId="10" fontId="5" fillId="0" borderId="13" xfId="0" applyNumberFormat="1" applyFont="1" applyBorder="1" applyAlignment="1">
      <alignment horizontal="center"/>
    </xf>
    <xf numFmtId="0" fontId="8" fillId="3" borderId="14" xfId="0" applyFont="1" applyFill="1" applyBorder="1" applyAlignment="1">
      <alignment horizontal="left" indent="3"/>
    </xf>
    <xf numFmtId="0" fontId="8" fillId="3" borderId="15" xfId="0" applyFont="1" applyFill="1" applyBorder="1" applyAlignment="1">
      <alignment horizontal="left" indent="3"/>
    </xf>
    <xf numFmtId="164" fontId="7" fillId="3" borderId="16" xfId="0" applyNumberFormat="1" applyFont="1" applyFill="1" applyBorder="1" applyAlignment="1">
      <alignment horizontal="center"/>
    </xf>
    <xf numFmtId="0" fontId="6" fillId="7" borderId="9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164" fontId="7" fillId="0" borderId="13" xfId="0" applyNumberFormat="1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165" fontId="7" fillId="0" borderId="13" xfId="0" applyNumberFormat="1" applyFont="1" applyBorder="1" applyAlignment="1">
      <alignment horizontal="center"/>
    </xf>
    <xf numFmtId="0" fontId="8" fillId="5" borderId="12" xfId="0" applyFont="1" applyFill="1" applyBorder="1" applyAlignment="1">
      <alignment horizontal="left" indent="3"/>
    </xf>
    <xf numFmtId="8" fontId="7" fillId="5" borderId="13" xfId="0" applyNumberFormat="1" applyFont="1" applyFill="1" applyBorder="1" applyAlignment="1">
      <alignment horizontal="center"/>
    </xf>
    <xf numFmtId="0" fontId="8" fillId="5" borderId="14" xfId="0" applyFont="1" applyFill="1" applyBorder="1" applyAlignment="1">
      <alignment horizontal="left" indent="3"/>
    </xf>
    <xf numFmtId="0" fontId="8" fillId="5" borderId="15" xfId="0" applyFont="1" applyFill="1" applyBorder="1" applyAlignment="1">
      <alignment horizontal="left" indent="3"/>
    </xf>
    <xf numFmtId="8" fontId="7" fillId="5" borderId="16" xfId="0" applyNumberFormat="1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left" indent="3"/>
    </xf>
    <xf numFmtId="164" fontId="5" fillId="5" borderId="13" xfId="0" applyNumberFormat="1" applyFont="1" applyFill="1" applyBorder="1" applyAlignment="1">
      <alignment horizontal="center"/>
    </xf>
    <xf numFmtId="164" fontId="7" fillId="5" borderId="13" xfId="0" applyNumberFormat="1" applyFont="1" applyFill="1" applyBorder="1" applyAlignment="1">
      <alignment horizontal="center"/>
    </xf>
    <xf numFmtId="0" fontId="4" fillId="5" borderId="14" xfId="0" applyFont="1" applyFill="1" applyBorder="1" applyAlignment="1">
      <alignment horizontal="left" indent="3"/>
    </xf>
    <xf numFmtId="164" fontId="5" fillId="5" borderId="15" xfId="0" applyNumberFormat="1" applyFont="1" applyFill="1" applyBorder="1" applyAlignment="1">
      <alignment horizontal="center"/>
    </xf>
    <xf numFmtId="164" fontId="5" fillId="5" borderId="16" xfId="0" applyNumberFormat="1" applyFont="1" applyFill="1" applyBorder="1" applyAlignment="1">
      <alignment horizontal="center"/>
    </xf>
    <xf numFmtId="0" fontId="14" fillId="2" borderId="9" xfId="3" applyFont="1" applyBorder="1"/>
    <xf numFmtId="0" fontId="14" fillId="2" borderId="10" xfId="3" applyFont="1" applyBorder="1" applyAlignment="1">
      <alignment horizontal="center"/>
    </xf>
    <xf numFmtId="0" fontId="13" fillId="2" borderId="11" xfId="3" applyFont="1" applyBorder="1"/>
    <xf numFmtId="0" fontId="7" fillId="3" borderId="12" xfId="0" applyFont="1" applyFill="1" applyBorder="1"/>
    <xf numFmtId="0" fontId="7" fillId="3" borderId="13" xfId="0" applyFont="1" applyFill="1" applyBorder="1"/>
    <xf numFmtId="0" fontId="5" fillId="0" borderId="12" xfId="0" applyFont="1" applyBorder="1"/>
    <xf numFmtId="0" fontId="5" fillId="0" borderId="13" xfId="0" applyFont="1" applyBorder="1"/>
    <xf numFmtId="0" fontId="7" fillId="6" borderId="12" xfId="0" applyFont="1" applyFill="1" applyBorder="1" applyAlignment="1">
      <alignment horizontal="center"/>
    </xf>
    <xf numFmtId="0" fontId="7" fillId="6" borderId="13" xfId="0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  <xf numFmtId="0" fontId="7" fillId="6" borderId="14" xfId="0" applyFont="1" applyFill="1" applyBorder="1"/>
    <xf numFmtId="0" fontId="7" fillId="6" borderId="15" xfId="0" applyFont="1" applyFill="1" applyBorder="1"/>
    <xf numFmtId="164" fontId="7" fillId="6" borderId="16" xfId="0" applyNumberFormat="1" applyFont="1" applyFill="1" applyBorder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B0FA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Planilha1!$C$36:$C$41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21-4CB1-879C-3CB58A89B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0888451443569555E-2"/>
          <c:y val="0.79706547098279379"/>
          <c:w val="0.948778433945757"/>
          <c:h val="0.170527121609798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99060</xdr:colOff>
      <xdr:row>0</xdr:row>
      <xdr:rowOff>38101</xdr:rowOff>
    </xdr:from>
    <xdr:to>
      <xdr:col>4</xdr:col>
      <xdr:colOff>460719</xdr:colOff>
      <xdr:row>7</xdr:row>
      <xdr:rowOff>144781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E6E15F7-06D5-4CDD-93C6-8B6A44DDAA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99060" y="38101"/>
          <a:ext cx="5588979" cy="138684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43</xdr:row>
      <xdr:rowOff>99060</xdr:rowOff>
    </xdr:from>
    <xdr:to>
      <xdr:col>3</xdr:col>
      <xdr:colOff>1341120</xdr:colOff>
      <xdr:row>58</xdr:row>
      <xdr:rowOff>99060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3911618-99FC-6DEF-C468-11596C15D6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lian\Documents\a04b81b1-8e35-4e72-aeb9-98aed8ed4403.xlsx" TargetMode="External"/><Relationship Id="rId1" Type="http://schemas.openxmlformats.org/officeDocument/2006/relationships/externalLinkPath" Target="/Users/elian/Documents/a04b81b1-8e35-4e72-aeb9-98aed8ed44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P"/>
      <sheetName val="Planilha_Apoio"/>
    </sheetNames>
    <sheetDataSet>
      <sheetData sheetId="0"/>
      <sheetData sheetId="1">
        <row r="2">
          <cell r="A2" t="str">
            <v>CHAVE</v>
          </cell>
          <cell r="B2" t="str">
            <v>PERFIL</v>
          </cell>
          <cell r="C2" t="str">
            <v>TIPO DE FII</v>
          </cell>
          <cell r="D2" t="str">
            <v>%</v>
          </cell>
        </row>
        <row r="3">
          <cell r="A3" t="str">
            <v>Conservador-PAPEL</v>
          </cell>
          <cell r="B3" t="str">
            <v>Conservador</v>
          </cell>
          <cell r="C3" t="str">
            <v>PAPEL</v>
          </cell>
          <cell r="D3">
            <v>0.3</v>
          </cell>
        </row>
        <row r="4">
          <cell r="A4" t="str">
            <v>Conservador-TIJOLO</v>
          </cell>
          <cell r="B4" t="str">
            <v>Conservador</v>
          </cell>
          <cell r="C4" t="str">
            <v>TIJOLO</v>
          </cell>
          <cell r="D4">
            <v>0.5</v>
          </cell>
        </row>
        <row r="5">
          <cell r="A5" t="str">
            <v>Conservador-HÍBRIDOS</v>
          </cell>
          <cell r="B5" t="str">
            <v>Conservador</v>
          </cell>
          <cell r="C5" t="str">
            <v>HÍBRIDOS</v>
          </cell>
          <cell r="D5">
            <v>0.1</v>
          </cell>
        </row>
        <row r="6">
          <cell r="A6" t="str">
            <v>Conservador-FOFs</v>
          </cell>
          <cell r="B6" t="str">
            <v>Conservador</v>
          </cell>
          <cell r="C6" t="str">
            <v>FOFs</v>
          </cell>
          <cell r="D6">
            <v>0.1</v>
          </cell>
        </row>
        <row r="7">
          <cell r="A7" t="str">
            <v>Conservador-DESENVOLVIMENTO</v>
          </cell>
          <cell r="B7" t="str">
            <v>Conservador</v>
          </cell>
          <cell r="C7" t="str">
            <v>DESENVOLVIMENTO</v>
          </cell>
          <cell r="D7">
            <v>0</v>
          </cell>
        </row>
        <row r="8">
          <cell r="A8" t="str">
            <v>Conservador-HOTELARIAS</v>
          </cell>
          <cell r="B8" t="str">
            <v>Conservador</v>
          </cell>
          <cell r="C8" t="str">
            <v>HOTELARIAS</v>
          </cell>
          <cell r="D8">
            <v>0</v>
          </cell>
        </row>
        <row r="9">
          <cell r="A9" t="str">
            <v>Moderado-PAPEL</v>
          </cell>
          <cell r="B9" t="str">
            <v>Moderado</v>
          </cell>
          <cell r="C9" t="str">
            <v>PAPEL</v>
          </cell>
          <cell r="D9">
            <v>0.32</v>
          </cell>
        </row>
        <row r="10">
          <cell r="A10" t="str">
            <v>Moderado-TIJOLO</v>
          </cell>
          <cell r="B10" t="str">
            <v>Moderado</v>
          </cell>
          <cell r="C10" t="str">
            <v>TIJOLO</v>
          </cell>
          <cell r="D10">
            <v>0.35</v>
          </cell>
        </row>
        <row r="11">
          <cell r="A11" t="str">
            <v>Moderado-HÍBRIDOS</v>
          </cell>
          <cell r="B11" t="str">
            <v>Moderado</v>
          </cell>
          <cell r="C11" t="str">
            <v>HÍBRIDOS</v>
          </cell>
          <cell r="D11">
            <v>0.08</v>
          </cell>
        </row>
        <row r="12">
          <cell r="A12" t="str">
            <v>Moderado-FOFs</v>
          </cell>
          <cell r="B12" t="str">
            <v>Moderado</v>
          </cell>
          <cell r="C12" t="str">
            <v>FOFs</v>
          </cell>
          <cell r="D12">
            <v>0.05</v>
          </cell>
        </row>
        <row r="13">
          <cell r="A13" t="str">
            <v>Moderado-DESENVOLVIMENTO</v>
          </cell>
          <cell r="B13" t="str">
            <v>Moderado</v>
          </cell>
          <cell r="C13" t="str">
            <v>DESENVOLVIMENTO</v>
          </cell>
          <cell r="D13">
            <v>0.1</v>
          </cell>
        </row>
        <row r="14">
          <cell r="A14" t="str">
            <v>Moderado-HOTELARIAS</v>
          </cell>
          <cell r="B14" t="str">
            <v>Moderado</v>
          </cell>
          <cell r="C14" t="str">
            <v>HOTELARIAS</v>
          </cell>
          <cell r="D14">
            <v>0.1</v>
          </cell>
        </row>
        <row r="15">
          <cell r="A15" t="str">
            <v>Agressivo-PAPEL</v>
          </cell>
          <cell r="B15" t="str">
            <v>Agressivo</v>
          </cell>
          <cell r="C15" t="str">
            <v>PAPEL</v>
          </cell>
          <cell r="D15">
            <v>0.5</v>
          </cell>
        </row>
        <row r="16">
          <cell r="A16" t="str">
            <v>Agressivo-TIJOLO</v>
          </cell>
          <cell r="B16" t="str">
            <v>Agressivo</v>
          </cell>
          <cell r="C16" t="str">
            <v>TIJOLO</v>
          </cell>
          <cell r="D16">
            <v>0.1</v>
          </cell>
        </row>
        <row r="17">
          <cell r="A17" t="str">
            <v>Agressivo-HÍBRIDOS</v>
          </cell>
          <cell r="B17" t="str">
            <v>Agressivo</v>
          </cell>
          <cell r="C17" t="str">
            <v>HÍBRIDOS</v>
          </cell>
          <cell r="D17">
            <v>0.05</v>
          </cell>
        </row>
        <row r="18">
          <cell r="A18" t="str">
            <v>Agressivo-FOFs</v>
          </cell>
          <cell r="B18" t="str">
            <v>Agressivo</v>
          </cell>
          <cell r="C18" t="str">
            <v>FOFs</v>
          </cell>
          <cell r="D18">
            <v>0.05</v>
          </cell>
        </row>
        <row r="19">
          <cell r="A19" t="str">
            <v>Agressivo-DESENVOLVIMENTO</v>
          </cell>
          <cell r="B19" t="str">
            <v>Agressivo</v>
          </cell>
          <cell r="C19" t="str">
            <v>DESENVOLVIMENTO</v>
          </cell>
          <cell r="D19">
            <v>0.2</v>
          </cell>
        </row>
        <row r="20">
          <cell r="A20" t="str">
            <v>Agressivo-HOTELARIAS</v>
          </cell>
          <cell r="B20" t="str">
            <v>Agressivo</v>
          </cell>
          <cell r="C20" t="str">
            <v>HOTELARIAS</v>
          </cell>
          <cell r="D20">
            <v>0.1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5B261-B17B-4F40-BB93-C481388C08B7}">
  <dimension ref="A1:F60"/>
  <sheetViews>
    <sheetView showGridLines="0" showRowColHeaders="0" tabSelected="1" zoomScaleNormal="100" workbookViewId="0">
      <selection activeCell="K30" sqref="K30"/>
    </sheetView>
  </sheetViews>
  <sheetFormatPr defaultRowHeight="14.4" x14ac:dyDescent="0.3"/>
  <cols>
    <col min="1" max="1" width="8.88671875" customWidth="1"/>
    <col min="2" max="2" width="29.21875" bestFit="1" customWidth="1"/>
    <col min="3" max="3" width="17.88671875" bestFit="1" customWidth="1"/>
    <col min="4" max="4" width="20.21875" customWidth="1"/>
  </cols>
  <sheetData>
    <row r="1" spans="1:6" x14ac:dyDescent="0.3">
      <c r="A1" s="1"/>
      <c r="B1" s="2"/>
      <c r="C1" s="2"/>
      <c r="D1" s="2"/>
      <c r="E1" s="3"/>
      <c r="F1" s="5"/>
    </row>
    <row r="2" spans="1:6" x14ac:dyDescent="0.3">
      <c r="A2" s="4"/>
      <c r="B2" s="5"/>
      <c r="C2" s="5"/>
      <c r="D2" s="5"/>
      <c r="E2" s="6"/>
      <c r="F2" s="5"/>
    </row>
    <row r="3" spans="1:6" x14ac:dyDescent="0.3">
      <c r="A3" s="4"/>
      <c r="B3" s="5"/>
      <c r="C3" s="5"/>
      <c r="D3" s="5"/>
      <c r="E3" s="6"/>
      <c r="F3" s="5"/>
    </row>
    <row r="4" spans="1:6" x14ac:dyDescent="0.3">
      <c r="A4" s="4"/>
      <c r="B4" s="5"/>
      <c r="C4" s="5"/>
      <c r="D4" s="5"/>
      <c r="E4" s="6"/>
      <c r="F4" s="5"/>
    </row>
    <row r="5" spans="1:6" x14ac:dyDescent="0.3">
      <c r="A5" s="4"/>
      <c r="B5" s="5"/>
      <c r="C5" s="5"/>
      <c r="D5" s="5"/>
      <c r="E5" s="6"/>
      <c r="F5" s="5"/>
    </row>
    <row r="6" spans="1:6" x14ac:dyDescent="0.3">
      <c r="A6" s="4"/>
      <c r="B6" s="5"/>
      <c r="C6" s="5"/>
      <c r="D6" s="5"/>
      <c r="E6" s="6"/>
      <c r="F6" s="5"/>
    </row>
    <row r="7" spans="1:6" x14ac:dyDescent="0.3">
      <c r="A7" s="4"/>
      <c r="B7" s="5"/>
      <c r="C7" s="5"/>
      <c r="D7" s="5"/>
      <c r="E7" s="6"/>
      <c r="F7" s="5"/>
    </row>
    <row r="8" spans="1:6" x14ac:dyDescent="0.3">
      <c r="A8" s="4"/>
      <c r="B8" s="5"/>
      <c r="C8" s="5"/>
      <c r="D8" s="5"/>
      <c r="E8" s="6"/>
      <c r="F8" s="5"/>
    </row>
    <row r="9" spans="1:6" x14ac:dyDescent="0.3">
      <c r="A9" s="4"/>
      <c r="B9" s="5"/>
      <c r="C9" s="5"/>
      <c r="D9" s="5"/>
      <c r="E9" s="6"/>
      <c r="F9" s="5"/>
    </row>
    <row r="10" spans="1:6" x14ac:dyDescent="0.3">
      <c r="A10" s="4"/>
      <c r="B10" s="5"/>
      <c r="C10" s="5"/>
      <c r="D10" s="5"/>
      <c r="E10" s="6"/>
      <c r="F10" s="5"/>
    </row>
    <row r="11" spans="1:6" ht="27" x14ac:dyDescent="0.4">
      <c r="A11" s="4"/>
      <c r="B11" s="58" t="s">
        <v>0</v>
      </c>
      <c r="C11" s="59"/>
      <c r="D11" s="60"/>
      <c r="E11" s="6"/>
      <c r="F11" s="5"/>
    </row>
    <row r="12" spans="1:6" ht="19.2" x14ac:dyDescent="0.45">
      <c r="A12" s="4"/>
      <c r="B12" s="61" t="s">
        <v>1</v>
      </c>
      <c r="C12" s="54"/>
      <c r="D12" s="62">
        <v>9000</v>
      </c>
      <c r="E12" s="6"/>
      <c r="F12" s="5"/>
    </row>
    <row r="13" spans="1:6" ht="19.2" x14ac:dyDescent="0.45">
      <c r="A13" s="4"/>
      <c r="B13" s="61" t="s">
        <v>2</v>
      </c>
      <c r="C13" s="54"/>
      <c r="D13" s="63">
        <v>6.0000000000000001E-3</v>
      </c>
      <c r="E13" s="6"/>
      <c r="F13" s="5"/>
    </row>
    <row r="14" spans="1:6" ht="19.2" x14ac:dyDescent="0.45">
      <c r="A14" s="4"/>
      <c r="B14" s="64" t="s">
        <v>3</v>
      </c>
      <c r="C14" s="65"/>
      <c r="D14" s="66">
        <f>D12*30%</f>
        <v>2700</v>
      </c>
      <c r="E14" s="6"/>
      <c r="F14" s="5"/>
    </row>
    <row r="15" spans="1:6" x14ac:dyDescent="0.3">
      <c r="A15" s="4"/>
      <c r="B15" s="5"/>
      <c r="C15" s="5"/>
      <c r="D15" s="5"/>
      <c r="E15" s="6"/>
      <c r="F15" s="5"/>
    </row>
    <row r="16" spans="1:6" ht="29.4" x14ac:dyDescent="0.3">
      <c r="A16" s="4"/>
      <c r="B16" s="67" t="s">
        <v>4</v>
      </c>
      <c r="C16" s="68"/>
      <c r="D16" s="69"/>
      <c r="E16" s="6"/>
      <c r="F16" s="5"/>
    </row>
    <row r="17" spans="1:6" ht="19.2" x14ac:dyDescent="0.45">
      <c r="A17" s="4"/>
      <c r="B17" s="61" t="s">
        <v>27</v>
      </c>
      <c r="C17" s="54"/>
      <c r="D17" s="70">
        <v>2700</v>
      </c>
      <c r="E17" s="6"/>
      <c r="F17" s="5"/>
    </row>
    <row r="18" spans="1:6" ht="19.2" x14ac:dyDescent="0.45">
      <c r="A18" s="4"/>
      <c r="B18" s="61" t="s">
        <v>5</v>
      </c>
      <c r="C18" s="54"/>
      <c r="D18" s="71">
        <v>5</v>
      </c>
      <c r="E18" s="6"/>
      <c r="F18" s="5"/>
    </row>
    <row r="19" spans="1:6" ht="19.2" x14ac:dyDescent="0.45">
      <c r="A19" s="4"/>
      <c r="B19" s="61" t="s">
        <v>6</v>
      </c>
      <c r="C19" s="54"/>
      <c r="D19" s="72">
        <v>1.0789999999999999E-2</v>
      </c>
      <c r="E19" s="6"/>
      <c r="F19" s="5"/>
    </row>
    <row r="20" spans="1:6" ht="19.2" x14ac:dyDescent="0.45">
      <c r="A20" s="4"/>
      <c r="B20" s="73" t="s">
        <v>7</v>
      </c>
      <c r="C20" s="55"/>
      <c r="D20" s="74">
        <f>FV(taxa_mensal,qtd_anos*12,aporte*-1)</f>
        <v>226197.66779591664</v>
      </c>
      <c r="E20" s="6"/>
      <c r="F20" s="5"/>
    </row>
    <row r="21" spans="1:6" ht="19.2" x14ac:dyDescent="0.45">
      <c r="A21" s="4"/>
      <c r="B21" s="75" t="s">
        <v>8</v>
      </c>
      <c r="C21" s="76"/>
      <c r="D21" s="77">
        <f>patrimonio*rendimento_carteira</f>
        <v>1357.1860067754999</v>
      </c>
      <c r="E21" s="6"/>
      <c r="F21" s="5"/>
    </row>
    <row r="22" spans="1:6" x14ac:dyDescent="0.3">
      <c r="A22" s="4"/>
      <c r="B22" s="5"/>
      <c r="C22" s="5"/>
      <c r="D22" s="5"/>
      <c r="E22" s="6"/>
      <c r="F22" s="5"/>
    </row>
    <row r="23" spans="1:6" ht="29.4" x14ac:dyDescent="0.3">
      <c r="A23" s="4"/>
      <c r="B23" s="78" t="s">
        <v>9</v>
      </c>
      <c r="C23" s="79"/>
      <c r="D23" s="80" t="s">
        <v>30</v>
      </c>
      <c r="E23" s="6"/>
      <c r="F23" s="5"/>
    </row>
    <row r="24" spans="1:6" ht="19.2" x14ac:dyDescent="0.45">
      <c r="A24" s="7">
        <v>2</v>
      </c>
      <c r="B24" s="81" t="s">
        <v>10</v>
      </c>
      <c r="C24" s="56">
        <f>FV($D$19,$A24*12,$D$17*-1)</f>
        <v>73514.59370364208</v>
      </c>
      <c r="D24" s="82">
        <f>C24*rendimento_carteira</f>
        <v>441.08756222185247</v>
      </c>
      <c r="E24" s="6"/>
      <c r="F24" s="5"/>
    </row>
    <row r="25" spans="1:6" ht="19.2" x14ac:dyDescent="0.45">
      <c r="A25" s="7">
        <v>5</v>
      </c>
      <c r="B25" s="81" t="s">
        <v>11</v>
      </c>
      <c r="C25" s="56">
        <f>FV($D$19,$A25*12,$D$17*-1)</f>
        <v>226197.66779591664</v>
      </c>
      <c r="D25" s="82">
        <f>C25*rendimento_carteira</f>
        <v>1357.1860067754999</v>
      </c>
      <c r="E25" s="6"/>
      <c r="F25" s="5"/>
    </row>
    <row r="26" spans="1:6" ht="19.2" x14ac:dyDescent="0.45">
      <c r="A26" s="7">
        <v>10</v>
      </c>
      <c r="B26" s="81" t="s">
        <v>12</v>
      </c>
      <c r="C26" s="56">
        <f>FV($D$19,$A26*12,$D$17*-1)</f>
        <v>656867.37383146491</v>
      </c>
      <c r="D26" s="82">
        <f>C26*rendimento_carteira</f>
        <v>3941.2042429887897</v>
      </c>
      <c r="E26" s="6"/>
      <c r="F26" s="5"/>
    </row>
    <row r="27" spans="1:6" ht="19.2" x14ac:dyDescent="0.45">
      <c r="A27" s="7">
        <v>20</v>
      </c>
      <c r="B27" s="81" t="s">
        <v>13</v>
      </c>
      <c r="C27" s="57">
        <f>FV($D$19,$A27*12,$D$17*-1)</f>
        <v>3038035.6802621176</v>
      </c>
      <c r="D27" s="83">
        <f>C27*rendimento_carteira</f>
        <v>18228.214081572707</v>
      </c>
      <c r="E27" s="6"/>
      <c r="F27" s="5"/>
    </row>
    <row r="28" spans="1:6" ht="19.2" x14ac:dyDescent="0.45">
      <c r="A28" s="7">
        <v>30</v>
      </c>
      <c r="B28" s="84" t="s">
        <v>14</v>
      </c>
      <c r="C28" s="85">
        <f>FV($D$19,$A28*12,$D$17*-1)</f>
        <v>11669858.068512728</v>
      </c>
      <c r="D28" s="86">
        <f>C28*rendimento_carteira</f>
        <v>70019.14841107637</v>
      </c>
      <c r="E28" s="6"/>
      <c r="F28" s="5"/>
    </row>
    <row r="29" spans="1:6" x14ac:dyDescent="0.3">
      <c r="A29" s="4"/>
      <c r="B29" s="5"/>
      <c r="C29" s="5"/>
      <c r="D29" s="5"/>
      <c r="E29" s="6"/>
      <c r="F29" s="5"/>
    </row>
    <row r="30" spans="1:6" x14ac:dyDescent="0.3">
      <c r="A30" s="4"/>
      <c r="B30" s="5"/>
      <c r="C30" s="5"/>
      <c r="D30" s="5"/>
      <c r="E30" s="6"/>
      <c r="F30" s="5"/>
    </row>
    <row r="31" spans="1:6" x14ac:dyDescent="0.3">
      <c r="A31" s="4"/>
      <c r="B31" s="5"/>
      <c r="C31" s="5"/>
      <c r="D31" s="5"/>
      <c r="E31" s="6"/>
      <c r="F31" s="5"/>
    </row>
    <row r="32" spans="1:6" ht="16.8" x14ac:dyDescent="0.4">
      <c r="A32" s="4"/>
      <c r="B32" s="87" t="s">
        <v>15</v>
      </c>
      <c r="C32" s="88" t="s">
        <v>29</v>
      </c>
      <c r="D32" s="89"/>
      <c r="E32" s="6"/>
      <c r="F32" s="5"/>
    </row>
    <row r="33" spans="1:6" ht="16.8" x14ac:dyDescent="0.4">
      <c r="A33" s="4"/>
      <c r="B33" s="90" t="s">
        <v>17</v>
      </c>
      <c r="C33" s="12">
        <f>aporte</f>
        <v>2700</v>
      </c>
      <c r="D33" s="91"/>
      <c r="E33" s="6"/>
      <c r="F33" s="5"/>
    </row>
    <row r="34" spans="1:6" ht="16.8" x14ac:dyDescent="0.4">
      <c r="A34" s="4"/>
      <c r="B34" s="92"/>
      <c r="C34" s="13"/>
      <c r="D34" s="93"/>
      <c r="E34" s="6"/>
      <c r="F34" s="5"/>
    </row>
    <row r="35" spans="1:6" ht="16.8" x14ac:dyDescent="0.4">
      <c r="A35" s="4"/>
      <c r="B35" s="94" t="s">
        <v>18</v>
      </c>
      <c r="C35" s="14" t="s">
        <v>19</v>
      </c>
      <c r="D35" s="95" t="s">
        <v>20</v>
      </c>
      <c r="E35" s="6"/>
      <c r="F35" s="5"/>
    </row>
    <row r="36" spans="1:6" ht="16.8" x14ac:dyDescent="0.4">
      <c r="A36" s="4"/>
      <c r="B36" s="96" t="s">
        <v>21</v>
      </c>
      <c r="C36" s="15">
        <f>VLOOKUP($C$32&amp;"-"&amp;B36,[1]Planilha_Apoio!$A:$D,4,FALSE)</f>
        <v>0.5</v>
      </c>
      <c r="D36" s="97">
        <f>C36*$C$33</f>
        <v>1350</v>
      </c>
      <c r="E36" s="6"/>
      <c r="F36" s="5"/>
    </row>
    <row r="37" spans="1:6" ht="16.8" x14ac:dyDescent="0.4">
      <c r="A37" s="4"/>
      <c r="B37" s="96" t="s">
        <v>22</v>
      </c>
      <c r="C37" s="15">
        <f>VLOOKUP($C$32&amp;"-"&amp;B37,[1]Planilha_Apoio!$A:$D,4,FALSE)</f>
        <v>0.1</v>
      </c>
      <c r="D37" s="97">
        <f t="shared" ref="D37:D41" si="0">C37*$C$33</f>
        <v>270</v>
      </c>
      <c r="E37" s="6"/>
      <c r="F37" s="5"/>
    </row>
    <row r="38" spans="1:6" ht="16.8" x14ac:dyDescent="0.4">
      <c r="A38" s="4"/>
      <c r="B38" s="96" t="s">
        <v>23</v>
      </c>
      <c r="C38" s="15">
        <f>VLOOKUP($C$32&amp;"-"&amp;B38,[1]Planilha_Apoio!$A:$D,4,FALSE)</f>
        <v>0.05</v>
      </c>
      <c r="D38" s="97">
        <f t="shared" si="0"/>
        <v>135</v>
      </c>
      <c r="E38" s="6"/>
      <c r="F38" s="5"/>
    </row>
    <row r="39" spans="1:6" ht="16.8" x14ac:dyDescent="0.4">
      <c r="A39" s="4"/>
      <c r="B39" s="96" t="s">
        <v>24</v>
      </c>
      <c r="C39" s="15">
        <f>VLOOKUP($C$32&amp;"-"&amp;B39,[1]Planilha_Apoio!$A:$D,4,FALSE)</f>
        <v>0.05</v>
      </c>
      <c r="D39" s="97">
        <f t="shared" si="0"/>
        <v>135</v>
      </c>
      <c r="E39" s="6"/>
      <c r="F39" s="5"/>
    </row>
    <row r="40" spans="1:6" ht="16.8" x14ac:dyDescent="0.4">
      <c r="A40" s="4"/>
      <c r="B40" s="96" t="s">
        <v>25</v>
      </c>
      <c r="C40" s="15">
        <f>VLOOKUP($C$32&amp;"-"&amp;B40,[1]Planilha_Apoio!$A:$D,4,FALSE)</f>
        <v>0.2</v>
      </c>
      <c r="D40" s="97">
        <f t="shared" si="0"/>
        <v>540</v>
      </c>
      <c r="E40" s="6"/>
      <c r="F40" s="5"/>
    </row>
    <row r="41" spans="1:6" ht="16.8" x14ac:dyDescent="0.4">
      <c r="A41" s="4"/>
      <c r="B41" s="96" t="s">
        <v>26</v>
      </c>
      <c r="C41" s="15">
        <f>VLOOKUP($C$32&amp;"-"&amp;B41,[1]Planilha_Apoio!$A:$D,4,FALSE)</f>
        <v>0.1</v>
      </c>
      <c r="D41" s="97">
        <f t="shared" si="0"/>
        <v>270</v>
      </c>
      <c r="E41" s="6"/>
      <c r="F41" s="5"/>
    </row>
    <row r="42" spans="1:6" ht="16.8" x14ac:dyDescent="0.4">
      <c r="A42" s="4"/>
      <c r="B42" s="98"/>
      <c r="C42" s="99"/>
      <c r="D42" s="100">
        <f>SUM(D36:D41)</f>
        <v>2700</v>
      </c>
      <c r="E42" s="6"/>
      <c r="F42" s="5"/>
    </row>
    <row r="43" spans="1:6" x14ac:dyDescent="0.3">
      <c r="A43" s="4"/>
      <c r="B43" s="5"/>
      <c r="C43" s="5"/>
      <c r="D43" s="5"/>
      <c r="E43" s="6"/>
      <c r="F43" s="5"/>
    </row>
    <row r="44" spans="1:6" x14ac:dyDescent="0.3">
      <c r="A44" s="4"/>
      <c r="B44" s="5"/>
      <c r="C44" s="5"/>
      <c r="D44" s="5"/>
      <c r="E44" s="6"/>
    </row>
    <row r="45" spans="1:6" x14ac:dyDescent="0.3">
      <c r="A45" s="4"/>
      <c r="B45" s="5"/>
      <c r="C45" s="5"/>
      <c r="D45" s="5"/>
      <c r="E45" s="6"/>
    </row>
    <row r="46" spans="1:6" x14ac:dyDescent="0.3">
      <c r="A46" s="4"/>
      <c r="B46" s="5"/>
      <c r="C46" s="5"/>
      <c r="D46" s="5"/>
      <c r="E46" s="6"/>
    </row>
    <row r="47" spans="1:6" x14ac:dyDescent="0.3">
      <c r="A47" s="4"/>
      <c r="B47" s="5"/>
      <c r="C47" s="5"/>
      <c r="D47" s="5"/>
      <c r="E47" s="6"/>
    </row>
    <row r="48" spans="1:6" x14ac:dyDescent="0.3">
      <c r="A48" s="4"/>
      <c r="B48" s="5"/>
      <c r="C48" s="5"/>
      <c r="D48" s="5"/>
      <c r="E48" s="6"/>
    </row>
    <row r="49" spans="1:5" x14ac:dyDescent="0.3">
      <c r="A49" s="4"/>
      <c r="B49" s="5"/>
      <c r="C49" s="5"/>
      <c r="D49" s="5"/>
      <c r="E49" s="6"/>
    </row>
    <row r="50" spans="1:5" x14ac:dyDescent="0.3">
      <c r="A50" s="4"/>
      <c r="B50" s="5"/>
      <c r="C50" s="5"/>
      <c r="D50" s="5"/>
      <c r="E50" s="6"/>
    </row>
    <row r="51" spans="1:5" x14ac:dyDescent="0.3">
      <c r="A51" s="4"/>
      <c r="B51" s="5"/>
      <c r="C51" s="5"/>
      <c r="D51" s="5"/>
      <c r="E51" s="6"/>
    </row>
    <row r="52" spans="1:5" x14ac:dyDescent="0.3">
      <c r="A52" s="4"/>
      <c r="B52" s="5"/>
      <c r="C52" s="5"/>
      <c r="D52" s="5"/>
      <c r="E52" s="6"/>
    </row>
    <row r="53" spans="1:5" x14ac:dyDescent="0.3">
      <c r="A53" s="4"/>
      <c r="B53" s="5"/>
      <c r="C53" s="5"/>
      <c r="D53" s="5"/>
      <c r="E53" s="6"/>
    </row>
    <row r="54" spans="1:5" x14ac:dyDescent="0.3">
      <c r="A54" s="4"/>
      <c r="B54" s="5"/>
      <c r="C54" s="5"/>
      <c r="D54" s="5"/>
      <c r="E54" s="6"/>
    </row>
    <row r="55" spans="1:5" x14ac:dyDescent="0.3">
      <c r="A55" s="4"/>
      <c r="B55" s="5"/>
      <c r="C55" s="5"/>
      <c r="D55" s="5"/>
      <c r="E55" s="6"/>
    </row>
    <row r="56" spans="1:5" x14ac:dyDescent="0.3">
      <c r="A56" s="4"/>
      <c r="B56" s="5"/>
      <c r="C56" s="5"/>
      <c r="D56" s="5"/>
      <c r="E56" s="6"/>
    </row>
    <row r="57" spans="1:5" x14ac:dyDescent="0.3">
      <c r="A57" s="4"/>
      <c r="B57" s="5"/>
      <c r="C57" s="5"/>
      <c r="D57" s="5"/>
      <c r="E57" s="6"/>
    </row>
    <row r="58" spans="1:5" x14ac:dyDescent="0.3">
      <c r="A58" s="4"/>
      <c r="B58" s="5"/>
      <c r="C58" s="5"/>
      <c r="D58" s="5"/>
      <c r="E58" s="6"/>
    </row>
    <row r="59" spans="1:5" x14ac:dyDescent="0.3">
      <c r="A59" s="4"/>
      <c r="B59" s="5"/>
      <c r="C59" s="5"/>
      <c r="D59" s="5"/>
      <c r="E59" s="6"/>
    </row>
    <row r="60" spans="1:5" ht="15" thickBot="1" x14ac:dyDescent="0.35">
      <c r="A60" s="8"/>
      <c r="B60" s="9"/>
      <c r="C60" s="9"/>
      <c r="D60" s="9"/>
      <c r="E60" s="10"/>
    </row>
  </sheetData>
  <mergeCells count="10">
    <mergeCell ref="B19:C19"/>
    <mergeCell ref="B20:C20"/>
    <mergeCell ref="B21:C21"/>
    <mergeCell ref="B23:C23"/>
    <mergeCell ref="B12:C12"/>
    <mergeCell ref="B13:C13"/>
    <mergeCell ref="B14:C14"/>
    <mergeCell ref="B16:D16"/>
    <mergeCell ref="B17:C17"/>
    <mergeCell ref="B18:C18"/>
  </mergeCells>
  <dataValidations count="1">
    <dataValidation type="list" allowBlank="1" showInputMessage="1" showErrorMessage="1" sqref="C32" xr:uid="{8B830774-630F-41AC-8812-2969AB6E017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3952F-3A00-45AF-8779-8BE33D0C0A1F}">
  <dimension ref="A2:I22"/>
  <sheetViews>
    <sheetView workbookViewId="0">
      <selection activeCell="E12" sqref="E12"/>
    </sheetView>
  </sheetViews>
  <sheetFormatPr defaultRowHeight="16.8" x14ac:dyDescent="0.4"/>
  <cols>
    <col min="1" max="1" width="31.77734375" style="11" bestFit="1" customWidth="1"/>
    <col min="2" max="2" width="13.33203125" style="28" customWidth="1"/>
    <col min="3" max="3" width="19.44140625" style="11" bestFit="1" customWidth="1"/>
    <col min="4" max="4" width="19.6640625" style="11" customWidth="1"/>
    <col min="7" max="7" width="18.6640625" bestFit="1" customWidth="1"/>
  </cols>
  <sheetData>
    <row r="2" spans="1:9" ht="19.2" x14ac:dyDescent="0.45">
      <c r="A2" s="20" t="s">
        <v>34</v>
      </c>
      <c r="B2" s="21"/>
      <c r="C2" s="21"/>
      <c r="D2" s="21"/>
    </row>
    <row r="3" spans="1:9" ht="17.399999999999999" thickBot="1" x14ac:dyDescent="0.45"/>
    <row r="4" spans="1:9" x14ac:dyDescent="0.4">
      <c r="A4" s="25" t="s">
        <v>31</v>
      </c>
      <c r="B4" s="27" t="s">
        <v>15</v>
      </c>
      <c r="C4" s="16" t="s">
        <v>18</v>
      </c>
      <c r="D4" s="17" t="s">
        <v>32</v>
      </c>
    </row>
    <row r="5" spans="1:9" x14ac:dyDescent="0.4">
      <c r="A5" s="30" t="str">
        <f>B5&amp;"-"&amp;C5</f>
        <v>Conservador-PAPEL</v>
      </c>
      <c r="B5" s="31" t="s">
        <v>28</v>
      </c>
      <c r="C5" s="32" t="s">
        <v>21</v>
      </c>
      <c r="D5" s="33">
        <v>0.3</v>
      </c>
      <c r="G5" s="11"/>
      <c r="H5" s="23" t="s">
        <v>32</v>
      </c>
      <c r="I5" s="11"/>
    </row>
    <row r="6" spans="1:9" x14ac:dyDescent="0.4">
      <c r="A6" s="30" t="str">
        <f t="shared" ref="A6:A22" si="0">B6&amp;"-"&amp;C6</f>
        <v>Conservador-TIJOLO</v>
      </c>
      <c r="B6" s="31" t="s">
        <v>28</v>
      </c>
      <c r="C6" s="32" t="s">
        <v>22</v>
      </c>
      <c r="D6" s="33">
        <v>0.5</v>
      </c>
      <c r="G6" s="22" t="s">
        <v>33</v>
      </c>
      <c r="H6" s="24">
        <f>VLOOKUP(G6,$A:$D,4,FALSE)</f>
        <v>0.35</v>
      </c>
      <c r="I6" s="11"/>
    </row>
    <row r="7" spans="1:9" x14ac:dyDescent="0.4">
      <c r="A7" s="30" t="str">
        <f t="shared" si="0"/>
        <v>Conservador-HÍBRIDOS</v>
      </c>
      <c r="B7" s="31" t="s">
        <v>28</v>
      </c>
      <c r="C7" s="32" t="s">
        <v>23</v>
      </c>
      <c r="D7" s="33">
        <v>0.1</v>
      </c>
      <c r="G7" s="11"/>
      <c r="H7" s="11"/>
      <c r="I7" s="11"/>
    </row>
    <row r="8" spans="1:9" x14ac:dyDescent="0.4">
      <c r="A8" s="30" t="str">
        <f t="shared" si="0"/>
        <v>Conservador-FOFs</v>
      </c>
      <c r="B8" s="31" t="s">
        <v>28</v>
      </c>
      <c r="C8" s="32" t="s">
        <v>24</v>
      </c>
      <c r="D8" s="33">
        <v>0.1</v>
      </c>
      <c r="G8" s="11"/>
      <c r="H8" s="11"/>
      <c r="I8" s="11"/>
    </row>
    <row r="9" spans="1:9" x14ac:dyDescent="0.4">
      <c r="A9" s="30" t="str">
        <f t="shared" si="0"/>
        <v>Conservador-DESENVOLVIMENTO</v>
      </c>
      <c r="B9" s="31" t="s">
        <v>28</v>
      </c>
      <c r="C9" s="32" t="s">
        <v>25</v>
      </c>
      <c r="D9" s="33">
        <v>0</v>
      </c>
    </row>
    <row r="10" spans="1:9" ht="17.399999999999999" thickBot="1" x14ac:dyDescent="0.45">
      <c r="A10" s="34" t="str">
        <f t="shared" si="0"/>
        <v>Conservador-HOTELARIAS</v>
      </c>
      <c r="B10" s="35" t="s">
        <v>28</v>
      </c>
      <c r="C10" s="36" t="s">
        <v>26</v>
      </c>
      <c r="D10" s="37">
        <v>0</v>
      </c>
    </row>
    <row r="11" spans="1:9" x14ac:dyDescent="0.4">
      <c r="A11" s="38" t="str">
        <f t="shared" si="0"/>
        <v>Moderado-PAPEL</v>
      </c>
      <c r="B11" s="39" t="s">
        <v>16</v>
      </c>
      <c r="C11" s="40" t="s">
        <v>21</v>
      </c>
      <c r="D11" s="41">
        <v>0.32</v>
      </c>
    </row>
    <row r="12" spans="1:9" x14ac:dyDescent="0.4">
      <c r="A12" s="26" t="str">
        <f t="shared" si="0"/>
        <v>Moderado-TIJOLO</v>
      </c>
      <c r="B12" s="29" t="s">
        <v>16</v>
      </c>
      <c r="C12" s="18" t="s">
        <v>22</v>
      </c>
      <c r="D12" s="19">
        <v>0.35</v>
      </c>
    </row>
    <row r="13" spans="1:9" x14ac:dyDescent="0.4">
      <c r="A13" s="38" t="str">
        <f t="shared" si="0"/>
        <v>Moderado-HÍBRIDOS</v>
      </c>
      <c r="B13" s="39" t="s">
        <v>16</v>
      </c>
      <c r="C13" s="40" t="s">
        <v>23</v>
      </c>
      <c r="D13" s="41">
        <v>0.08</v>
      </c>
    </row>
    <row r="14" spans="1:9" x14ac:dyDescent="0.4">
      <c r="A14" s="38" t="str">
        <f t="shared" si="0"/>
        <v>Moderado-FOFs</v>
      </c>
      <c r="B14" s="39" t="s">
        <v>16</v>
      </c>
      <c r="C14" s="40" t="s">
        <v>24</v>
      </c>
      <c r="D14" s="41">
        <v>0.05</v>
      </c>
    </row>
    <row r="15" spans="1:9" x14ac:dyDescent="0.4">
      <c r="A15" s="38" t="str">
        <f t="shared" si="0"/>
        <v>Moderado-DESENVOLVIMENTO</v>
      </c>
      <c r="B15" s="39" t="s">
        <v>16</v>
      </c>
      <c r="C15" s="40" t="s">
        <v>25</v>
      </c>
      <c r="D15" s="41">
        <v>0.1</v>
      </c>
    </row>
    <row r="16" spans="1:9" ht="17.399999999999999" thickBot="1" x14ac:dyDescent="0.45">
      <c r="A16" s="42" t="str">
        <f t="shared" si="0"/>
        <v>Moderado-HOTELARIAS</v>
      </c>
      <c r="B16" s="43" t="s">
        <v>16</v>
      </c>
      <c r="C16" s="44" t="s">
        <v>26</v>
      </c>
      <c r="D16" s="45">
        <v>0.1</v>
      </c>
    </row>
    <row r="17" spans="1:4" x14ac:dyDescent="0.4">
      <c r="A17" s="46" t="str">
        <f t="shared" si="0"/>
        <v>Agressivo-PAPEL</v>
      </c>
      <c r="B17" s="47" t="s">
        <v>29</v>
      </c>
      <c r="C17" s="48" t="s">
        <v>21</v>
      </c>
      <c r="D17" s="49">
        <v>0.5</v>
      </c>
    </row>
    <row r="18" spans="1:4" x14ac:dyDescent="0.4">
      <c r="A18" s="46" t="str">
        <f t="shared" si="0"/>
        <v>Agressivo-TIJOLO</v>
      </c>
      <c r="B18" s="47" t="s">
        <v>29</v>
      </c>
      <c r="C18" s="48" t="s">
        <v>22</v>
      </c>
      <c r="D18" s="49">
        <v>0.1</v>
      </c>
    </row>
    <row r="19" spans="1:4" x14ac:dyDescent="0.4">
      <c r="A19" s="46" t="str">
        <f t="shared" si="0"/>
        <v>Agressivo-HÍBRIDOS</v>
      </c>
      <c r="B19" s="47" t="s">
        <v>29</v>
      </c>
      <c r="C19" s="48" t="s">
        <v>23</v>
      </c>
      <c r="D19" s="49">
        <v>0.05</v>
      </c>
    </row>
    <row r="20" spans="1:4" x14ac:dyDescent="0.4">
      <c r="A20" s="46" t="str">
        <f t="shared" si="0"/>
        <v>Agressivo-FOFs</v>
      </c>
      <c r="B20" s="47" t="s">
        <v>29</v>
      </c>
      <c r="C20" s="48" t="s">
        <v>24</v>
      </c>
      <c r="D20" s="49">
        <v>0.05</v>
      </c>
    </row>
    <row r="21" spans="1:4" x14ac:dyDescent="0.4">
      <c r="A21" s="46" t="str">
        <f t="shared" si="0"/>
        <v>Agressivo-DESENVOLVIMENTO</v>
      </c>
      <c r="B21" s="47" t="s">
        <v>29</v>
      </c>
      <c r="C21" s="48" t="s">
        <v>25</v>
      </c>
      <c r="D21" s="49">
        <v>0.2</v>
      </c>
    </row>
    <row r="22" spans="1:4" ht="17.399999999999999" thickBot="1" x14ac:dyDescent="0.45">
      <c r="A22" s="50" t="str">
        <f t="shared" si="0"/>
        <v>Agressivo-HOTELARIAS</v>
      </c>
      <c r="B22" s="51" t="s">
        <v>29</v>
      </c>
      <c r="C22" s="52" t="s">
        <v>26</v>
      </c>
      <c r="D22" s="53">
        <v>0.1</v>
      </c>
    </row>
  </sheetData>
  <mergeCells count="1">
    <mergeCell ref="A2:D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5</vt:i4>
      </vt:variant>
    </vt:vector>
  </HeadingPairs>
  <TitlesOfParts>
    <vt:vector size="7" baseType="lpstr">
      <vt:lpstr>Planilha1</vt:lpstr>
      <vt:lpstr>Planilha2</vt:lpstr>
      <vt:lpstr>aporte</vt:lpstr>
      <vt:lpstr>patrimonio</vt:lpstr>
      <vt:lpstr>qtd_anos</vt:lpstr>
      <vt:lpstr>rendimento_carteira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Eliane Ribeiro</dc:creator>
  <cp:lastModifiedBy>Eliane Ribeiro</cp:lastModifiedBy>
  <dcterms:created xsi:type="dcterms:W3CDTF">2026-09-20T16:21:50Z</dcterms:created>
  <dcterms:modified xsi:type="dcterms:W3CDTF">2026-09-20T21:43:15Z</dcterms:modified>
</cp:coreProperties>
</file>